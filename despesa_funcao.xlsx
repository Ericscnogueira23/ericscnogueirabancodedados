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1FE4F869-BBD6-4028-ABF9-A2B84EE84F33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2" sheetId="3" r:id="rId2"/>
    <sheet name="Planilha1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</calcChain>
</file>

<file path=xl/sharedStrings.xml><?xml version="1.0" encoding="utf-8"?>
<sst xmlns="http://schemas.openxmlformats.org/spreadsheetml/2006/main" count="2707" uniqueCount="569">
  <si>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</si>
  <si>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</si>
  <si>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</si>
  <si>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</si>
  <si>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</si>
  <si>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</si>
  <si>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</si>
  <si>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</si>
  <si>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</si>
  <si>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</si>
  <si>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</si>
  <si>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</si>
  <si>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</si>
  <si>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</si>
  <si>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</si>
  <si>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</si>
  <si>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</si>
  <si>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</si>
  <si>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</si>
  <si>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</si>
  <si>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</si>
  <si>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</si>
  <si>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</si>
  <si>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</si>
  <si>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</si>
  <si>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</si>
  <si>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</si>
  <si>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</si>
  <si>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</si>
  <si>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</si>
  <si>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</si>
  <si>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</si>
  <si>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</si>
  <si>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</si>
  <si>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</si>
  <si>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</si>
  <si>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</si>
  <si>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</si>
  <si>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</si>
  <si>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</si>
  <si>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</si>
  <si>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</si>
  <si>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</si>
  <si>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</si>
  <si>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</si>
  <si>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</si>
  <si>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</si>
  <si>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</si>
  <si>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</si>
  <si>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</si>
  <si>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</si>
  <si>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</si>
  <si>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</si>
  <si>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</si>
  <si>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</si>
  <si>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</si>
  <si>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</si>
  <si>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</si>
  <si>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</si>
  <si>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</si>
  <si>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</si>
  <si>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</si>
  <si>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</si>
  <si>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</si>
  <si>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</si>
  <si>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</si>
  <si>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</si>
  <si>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</si>
  <si>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</si>
  <si>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</si>
  <si>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</si>
  <si>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</si>
  <si>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</si>
  <si>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</si>
  <si>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</si>
  <si>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</si>
  <si>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</si>
  <si>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</si>
  <si>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</si>
  <si>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</si>
  <si>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</si>
  <si>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</si>
  <si>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</si>
  <si>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</si>
  <si>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</si>
  <si>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</si>
  <si>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</si>
  <si>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</si>
  <si>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</si>
  <si>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</si>
  <si>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</si>
  <si>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</si>
  <si>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</si>
  <si>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</si>
  <si>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</si>
  <si>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</si>
  <si>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</si>
  <si>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</si>
  <si>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</si>
  <si>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</si>
  <si>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</si>
  <si>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</si>
  <si>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</si>
  <si>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</si>
  <si>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</si>
  <si>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</si>
  <si>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</si>
  <si>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</si>
  <si>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</si>
  <si>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</si>
  <si>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</si>
  <si>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</si>
  <si>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</si>
  <si>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</si>
  <si>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</si>
  <si>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</si>
  <si>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</si>
  <si>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</si>
  <si>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</si>
  <si>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</si>
  <si>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</si>
  <si>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</si>
  <si>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</si>
  <si>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</si>
  <si>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</si>
  <si>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</si>
  <si>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</si>
  <si>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</si>
  <si>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</si>
  <si>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</si>
  <si>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</si>
  <si>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</si>
  <si>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</si>
  <si>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</si>
  <si>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</si>
  <si>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</si>
  <si>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</si>
  <si>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</si>
  <si>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</si>
  <si>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</si>
  <si>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</si>
  <si>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</si>
  <si>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</si>
  <si>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</si>
  <si>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</si>
  <si>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</si>
  <si>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</si>
  <si>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</si>
  <si>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</si>
  <si>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</si>
  <si>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</si>
  <si>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</si>
  <si>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</si>
  <si>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</si>
  <si>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</si>
  <si>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</si>
  <si>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</si>
  <si>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</si>
  <si>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</si>
  <si>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</si>
  <si>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</si>
  <si>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</si>
  <si>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</si>
  <si>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</si>
  <si>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</si>
  <si>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</si>
  <si>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</si>
  <si>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</si>
  <si>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</si>
  <si>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</si>
  <si>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</si>
  <si>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</si>
  <si>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</si>
  <si>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</si>
  <si>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</si>
  <si>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</si>
  <si>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</si>
  <si>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</si>
  <si>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</si>
  <si>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</si>
  <si>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</si>
  <si>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</si>
  <si>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</si>
  <si>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</si>
  <si>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</si>
  <si>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</si>
  <si>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</si>
  <si>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</si>
  <si>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</si>
  <si>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</si>
  <si>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</si>
  <si>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</si>
  <si>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</si>
  <si>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</si>
  <si>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</si>
  <si>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</si>
  <si>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</si>
  <si>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</si>
  <si>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</si>
  <si>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</si>
  <si>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</si>
  <si>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</si>
  <si>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</si>
  <si>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</si>
  <si>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</si>
  <si>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</si>
  <si>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</si>
  <si>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</si>
  <si>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</si>
  <si>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</si>
  <si>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</si>
  <si>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</si>
  <si>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</si>
  <si>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</si>
  <si>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</si>
  <si>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</si>
  <si>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</si>
  <si>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</si>
  <si>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</si>
  <si>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</si>
  <si>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</si>
  <si>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</si>
  <si>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</si>
  <si>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</si>
  <si>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</si>
  <si>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</si>
  <si>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</si>
  <si>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</si>
  <si>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</si>
  <si>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</si>
  <si>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</si>
  <si>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</si>
  <si>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</si>
  <si>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</si>
  <si>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</si>
  <si>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</si>
  <si>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</si>
  <si>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</si>
  <si>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</si>
  <si>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</si>
  <si>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</si>
  <si>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</si>
  <si>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</si>
  <si>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</si>
  <si>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</si>
  <si>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</si>
  <si>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</si>
  <si>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</si>
  <si>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</si>
  <si>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</si>
  <si>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</si>
  <si>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</si>
  <si>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</si>
  <si>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</si>
  <si>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</si>
  <si>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</si>
  <si>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</si>
  <si>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</si>
  <si>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</si>
  <si>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</si>
  <si>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</si>
  <si>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</si>
  <si>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</si>
  <si>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</si>
  <si>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</si>
  <si>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</si>
  <si>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</si>
  <si>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</si>
  <si>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</si>
  <si>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</si>
  <si>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</si>
  <si>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</si>
  <si>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</si>
  <si>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</si>
  <si>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</si>
  <si>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</si>
  <si>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</si>
  <si>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</si>
  <si>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</si>
  <si>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</si>
  <si>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</si>
  <si>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</si>
  <si>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</si>
  <si>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</si>
  <si>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</si>
  <si>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</si>
  <si>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</si>
  <si>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</si>
  <si>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</si>
  <si>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</si>
  <si>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</si>
  <si>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</si>
  <si>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</si>
  <si>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</si>
  <si>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</si>
  <si>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</si>
  <si>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</si>
  <si>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</si>
  <si>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</si>
  <si>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</si>
  <si>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</si>
  <si>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</si>
  <si>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</si>
  <si>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</si>
  <si>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</si>
  <si>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</si>
  <si>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</si>
  <si>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</si>
  <si>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</si>
  <si>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</si>
  <si>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</si>
  <si>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</si>
  <si>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</si>
  <si>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</si>
  <si>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</si>
  <si>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</si>
  <si>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</si>
  <si>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</si>
  <si>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</si>
  <si>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</si>
  <si>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</si>
  <si>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</si>
  <si>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</si>
  <si>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</si>
  <si>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</si>
  <si>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</si>
  <si>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</si>
  <si>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</si>
  <si>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</si>
  <si>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</si>
  <si>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</si>
  <si>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</si>
  <si>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</si>
  <si>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</si>
  <si>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</si>
  <si>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</si>
  <si>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</si>
  <si>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</si>
  <si>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</si>
  <si>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</si>
  <si>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</si>
  <si>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</si>
  <si>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</si>
  <si>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</si>
  <si>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</si>
  <si>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</si>
  <si>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</si>
  <si>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</si>
  <si>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</si>
  <si>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</si>
  <si>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</si>
  <si>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</si>
  <si>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</si>
  <si>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</si>
  <si>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</si>
  <si>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</si>
  <si>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</si>
  <si>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</si>
  <si>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</si>
  <si>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</si>
  <si>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</si>
  <si>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</si>
  <si>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</si>
  <si>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</si>
  <si>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</si>
  <si>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</si>
  <si>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</si>
  <si>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</si>
  <si>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</si>
  <si>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</si>
  <si>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</si>
  <si>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</si>
  <si>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</si>
  <si>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</si>
  <si>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</si>
  <si>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</si>
  <si>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</si>
  <si>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</si>
  <si>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</si>
  <si>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</si>
  <si>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</si>
  <si>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</si>
  <si>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</si>
  <si>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</si>
  <si>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</si>
  <si>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</si>
  <si>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</si>
  <si>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</si>
  <si>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</si>
  <si>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</si>
  <si>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</si>
  <si>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</si>
  <si>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</si>
  <si>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</si>
  <si>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</si>
  <si>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</si>
  <si>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</si>
  <si>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</si>
  <si>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</si>
  <si>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</si>
  <si>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</si>
  <si>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</si>
  <si>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</si>
  <si>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</si>
  <si>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</si>
  <si>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</si>
  <si>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</si>
  <si>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</si>
  <si>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</si>
  <si>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</si>
  <si>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</si>
  <si>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</si>
  <si>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</si>
  <si>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</si>
  <si>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</si>
  <si>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</si>
  <si>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</si>
  <si>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</si>
  <si>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</si>
  <si>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</si>
  <si>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</si>
  <si>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</si>
  <si>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</si>
  <si>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</si>
  <si>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</si>
  <si>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</si>
  <si>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</si>
  <si>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</si>
  <si>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</si>
  <si>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</si>
  <si>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</si>
  <si>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</si>
  <si>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</si>
  <si>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</si>
  <si>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</si>
  <si>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</si>
  <si>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</si>
  <si>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</si>
  <si>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</si>
  <si>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</si>
  <si>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</si>
  <si>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</si>
  <si>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</si>
  <si>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</si>
  <si>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</si>
  <si>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</si>
  <si>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</si>
  <si>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</si>
  <si>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</si>
  <si>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</si>
  <si>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</si>
  <si>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</si>
  <si>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</si>
  <si>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</si>
  <si>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</si>
  <si>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</si>
  <si>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</si>
  <si>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</si>
  <si>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</si>
  <si>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</si>
  <si>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</si>
  <si>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</si>
  <si>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</si>
  <si>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</si>
  <si>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</si>
  <si>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</si>
  <si>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</si>
  <si>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</si>
  <si>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</si>
  <si>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</si>
  <si>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</si>
  <si>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</si>
  <si>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</si>
  <si>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</si>
  <si>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</si>
  <si>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</si>
  <si>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</si>
  <si>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</si>
  <si>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</si>
  <si>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</si>
  <si>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</si>
  <si>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</si>
  <si>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</si>
  <si>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</si>
  <si>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</si>
  <si>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</si>
  <si>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</si>
  <si>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</si>
  <si>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</si>
  <si>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</si>
  <si>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</si>
  <si>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</si>
  <si>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</si>
  <si>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</si>
  <si>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</si>
  <si>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</si>
  <si>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</si>
  <si>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</si>
  <si>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</si>
  <si>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</si>
  <si>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</si>
  <si>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</si>
  <si>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</si>
  <si>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</si>
  <si>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</si>
  <si>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</si>
  <si>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</si>
  <si>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</si>
  <si>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</si>
  <si>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</si>
  <si>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</si>
  <si>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</si>
  <si>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</si>
  <si>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</si>
  <si>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</si>
  <si>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</si>
  <si>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</si>
  <si>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</si>
  <si>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</si>
  <si>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</si>
  <si>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</si>
  <si>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</si>
  <si>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</si>
  <si>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</si>
  <si>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</si>
  <si>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</si>
  <si>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</si>
  <si>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</si>
  <si>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</si>
  <si>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</si>
  <si>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</si>
  <si>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</si>
  <si>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</si>
  <si>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</si>
  <si>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</si>
  <si>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</si>
  <si>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</si>
  <si>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</si>
  <si>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</si>
  <si>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</si>
  <si>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</si>
  <si>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</si>
  <si>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</si>
  <si>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</si>
  <si>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</si>
  <si>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</si>
  <si>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</si>
  <si>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</si>
  <si>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</si>
  <si>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</si>
  <si>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</si>
  <si>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</si>
  <si>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</si>
  <si>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</si>
  <si>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</si>
  <si>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</si>
  <si>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</si>
  <si>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</si>
  <si>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</si>
  <si>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</si>
  <si>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</si>
  <si>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</si>
  <si>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</si>
  <si>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itens</t>
  </si>
  <si>
    <t>c</t>
  </si>
  <si>
    <t>Total pago</t>
  </si>
  <si>
    <t>Rótulos de Linha</t>
  </si>
  <si>
    <t>Total Geral</t>
  </si>
  <si>
    <t>Soma de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</si>
</sst>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DE3-A013-12BB06878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139903"/>
        <c:axId val="274497215"/>
      </c:barChart>
      <c:catAx>
        <c:axId val="10831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4497215"/>
        <c:crosses val="autoZero"/>
        <c:auto val="1"/>
        <c:lblAlgn val="ctr"/>
        <c:lblOffset val="100"/>
        <c:noMultiLvlLbl val="0"/>
      </c:catAx>
      <c:valAx>
        <c:axId val="27449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13</xdr:col>
      <xdr:colOff>161924</xdr:colOff>
      <xdr:row>18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A9BB6F-B230-4D09-B8AC-ED327D4C8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1314178241" createdVersion="6" refreshedVersion="6" minRefreshableVersion="3" recordCount="16">
  <cacheSource type="worksheet">
    <worksheetSource name="Tabela2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" numFmtId="0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444" totalsRowShown="0" headerRowDxfId="1" dataDxfId="2" headerRowCellStyle="Moeda" dataCellStyle="Moeda">
  <autoFilter ref="A1:K444"/>
  <tableColumns count="11">
    <tableColumn id="1" name="Ano"/>
    <tableColumn id="2" name="Mês"/>
    <tableColumn id="3" name="Classificação orçamentária"/>
    <tableColumn id="4" name="c"/>
    <tableColumn id="5" name="Função"/>
    <tableColumn id="6" name="Subfunção"/>
    <tableColumn id="7" name="Natureza da despesa"/>
    <tableColumn id="8" name="Fonte de recurso"/>
    <tableColumn id="9" name="Empenhado (R$)" dataDxfId="5" dataCellStyle="Moeda"/>
    <tableColumn id="10" name="Liquidado  (R$)" dataDxfId="4" dataCellStyle="Moeda"/>
    <tableColumn id="11" name="Pago  (R$)" dataDxfId="3" dataCellStyle="Moed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7" totalsRowShown="0">
  <autoFilter ref="A1:C17"/>
  <tableColumns count="3">
    <tableColumn id="1" name="Secretaria"/>
    <tableColumn id="2" name="Total pago">
      <calculatedColumnFormula>SUMIF(despesa_funcao!D:D,Planilha1!A2,despesa_funcao!K:K)</calculatedColumnFormula>
    </tableColumn>
    <tableColumn id="3" name="Total de itens" dataDxfId="0">
      <calculatedColumnFormula>COUNTIF(despesa_funcao!D:D,Tabela2[[#This Row],[Secretaria]])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N22" sqref="N22"/>
    </sheetView>
  </sheetViews>
  <sheetFormatPr defaultRowHeight="15" x14ac:dyDescent="0.25"/>
  <cols>
    <col min="3" max="3" width="26.42578125" customWidth="1"/>
    <col min="4" max="4" width="12" customWidth="1"/>
    <col min="5" max="5" width="9.42578125" customWidth="1"/>
    <col min="6" max="6" width="12.42578125" customWidth="1"/>
    <col min="7" max="7" width="21.42578125" customWidth="1"/>
    <col min="8" max="8" width="18" customWidth="1"/>
    <col min="9" max="9" width="18.5703125" style="1" customWidth="1"/>
    <col min="10" max="10" width="17.140625" style="1" customWidth="1"/>
    <col min="11" max="11" width="16.85546875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564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 s="1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 s="1">
        <v>540</v>
      </c>
      <c r="J5" s="1">
        <v>540</v>
      </c>
      <c r="K5" s="1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 s="1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 s="1">
        <v>0</v>
      </c>
      <c r="J9" s="1">
        <v>133.6</v>
      </c>
      <c r="K9" s="1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 s="1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1">
        <v>0</v>
      </c>
      <c r="J15" s="1">
        <v>1037297.6</v>
      </c>
      <c r="K15" s="1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 s="1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 s="1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 s="1">
        <v>0</v>
      </c>
      <c r="K22" s="1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 s="1">
        <v>718.4</v>
      </c>
      <c r="K23" s="1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 s="1">
        <v>250.5</v>
      </c>
      <c r="K26" s="1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 s="1">
        <v>0</v>
      </c>
      <c r="J27" s="1">
        <v>292.25</v>
      </c>
      <c r="K27" s="1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 s="1">
        <v>314.75</v>
      </c>
      <c r="J28" s="1">
        <v>41.75</v>
      </c>
      <c r="K28" s="1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 s="1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 s="1">
        <v>523.88</v>
      </c>
      <c r="J32" s="1">
        <v>523.88</v>
      </c>
      <c r="K32" s="1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 s="1">
        <v>585</v>
      </c>
      <c r="J35" s="1">
        <v>117035.82</v>
      </c>
      <c r="K35" s="1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 s="1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 s="1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 s="1">
        <v>444.24</v>
      </c>
      <c r="J38" s="1">
        <v>444.24</v>
      </c>
      <c r="K38" s="1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 s="1">
        <v>0</v>
      </c>
      <c r="K39" s="1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 s="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1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 s="1">
        <v>0</v>
      </c>
      <c r="J49" s="1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 s="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 s="1">
        <v>0</v>
      </c>
      <c r="J52" s="1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 s="1">
        <v>0</v>
      </c>
      <c r="J53" s="1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 s="1">
        <v>0</v>
      </c>
      <c r="J54" s="1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 s="1">
        <v>723.55</v>
      </c>
      <c r="J55" s="1">
        <v>0</v>
      </c>
      <c r="K55" s="1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 s="1">
        <v>0</v>
      </c>
      <c r="K58" s="1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 s="1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 s="1">
        <v>484.3</v>
      </c>
      <c r="K60" s="1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 s="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 s="1">
        <v>900</v>
      </c>
      <c r="J63" s="1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 s="1">
        <v>0</v>
      </c>
      <c r="J65" s="1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 s="1">
        <v>0</v>
      </c>
      <c r="K66" s="1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 s="1">
        <v>0</v>
      </c>
      <c r="K67" s="1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 s="1">
        <v>0</v>
      </c>
      <c r="K69" s="1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 s="1">
        <v>0</v>
      </c>
      <c r="K70" s="1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 s="1">
        <v>87.9</v>
      </c>
      <c r="J71" s="1">
        <v>87.9</v>
      </c>
      <c r="K71" s="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 s="1">
        <v>409.15</v>
      </c>
      <c r="K73" s="1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 s="1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 s="1">
        <v>0</v>
      </c>
      <c r="K77" s="1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 s="1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1">
        <v>0</v>
      </c>
      <c r="J81" s="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 s="1">
        <v>0</v>
      </c>
      <c r="K82" s="1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 s="1">
        <v>0</v>
      </c>
      <c r="K83" s="1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 s="1">
        <v>0</v>
      </c>
      <c r="J84" s="1">
        <v>34255</v>
      </c>
      <c r="K84" s="1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 s="1">
        <v>0</v>
      </c>
      <c r="K90" s="1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 s="1">
        <v>449.6</v>
      </c>
      <c r="J95" s="1">
        <v>449.6</v>
      </c>
      <c r="K95" s="1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 s="1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1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1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 s="1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 s="1">
        <v>0</v>
      </c>
      <c r="K105" s="1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 s="1">
        <v>0</v>
      </c>
      <c r="K109" s="1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 s="1">
        <v>0</v>
      </c>
      <c r="K112" s="1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 s="1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 s="1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 s="1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 s="1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 s="1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 s="1">
        <v>0</v>
      </c>
      <c r="J118" s="1">
        <v>287.5</v>
      </c>
      <c r="K118" s="1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 s="1">
        <v>0</v>
      </c>
      <c r="K124" s="1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 s="1">
        <v>0</v>
      </c>
      <c r="K127" s="1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 s="1">
        <v>972</v>
      </c>
      <c r="J129" s="1">
        <v>972</v>
      </c>
      <c r="K129" s="1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 s="1">
        <v>0</v>
      </c>
      <c r="J135" s="1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 s="1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 s="1">
        <v>0</v>
      </c>
      <c r="J137" s="1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 s="1">
        <v>0</v>
      </c>
      <c r="J139" s="1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 s="1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1">
        <v>0</v>
      </c>
      <c r="J143" s="1">
        <v>969.79</v>
      </c>
      <c r="K143" s="1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 s="1">
        <v>0</v>
      </c>
      <c r="J144" s="1">
        <v>31302.12</v>
      </c>
      <c r="K144" s="1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 s="1">
        <v>640.88</v>
      </c>
      <c r="J160" s="1">
        <v>640.88</v>
      </c>
      <c r="K160" s="1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 s="1">
        <v>440.23</v>
      </c>
      <c r="J162" s="1">
        <v>440.23</v>
      </c>
      <c r="K162" s="1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 s="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 s="1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 s="1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 s="1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1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 s="1">
        <v>0</v>
      </c>
      <c r="J179" s="1">
        <v>2397.5</v>
      </c>
      <c r="K179" s="1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 s="1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 s="1">
        <v>0</v>
      </c>
      <c r="K188" s="1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 s="1">
        <v>0</v>
      </c>
      <c r="K190" s="1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1">
        <v>0</v>
      </c>
      <c r="J192" s="1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 s="1">
        <v>0</v>
      </c>
      <c r="J193" s="1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 s="1">
        <v>0</v>
      </c>
      <c r="J194" s="1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 s="1">
        <v>0</v>
      </c>
      <c r="K198" s="1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 s="1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 s="1">
        <v>0</v>
      </c>
      <c r="J202" s="1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 s="1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 s="1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 s="1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 s="1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 s="1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 s="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 s="1">
        <v>0</v>
      </c>
      <c r="J212" s="1">
        <v>76285.240000000005</v>
      </c>
      <c r="K212" s="1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 s="1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 s="1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 s="1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 s="1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 s="1">
        <v>0</v>
      </c>
      <c r="J223" s="1">
        <v>0</v>
      </c>
      <c r="K223" s="1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 s="1">
        <v>0</v>
      </c>
      <c r="K228" s="1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 s="1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 s="1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 s="1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 s="1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 s="1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 s="1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 s="1">
        <v>0</v>
      </c>
      <c r="J247" s="1">
        <v>8791.25</v>
      </c>
      <c r="K247" s="1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 s="1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 s="1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 s="1">
        <v>0</v>
      </c>
      <c r="J260" s="1">
        <v>17938.669999999998</v>
      </c>
      <c r="K260" s="1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 s="1">
        <v>0</v>
      </c>
      <c r="J261" s="1">
        <v>15172.5</v>
      </c>
      <c r="K261" s="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 s="1">
        <v>900</v>
      </c>
      <c r="J263" s="1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 s="1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 s="1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 s="1">
        <v>0</v>
      </c>
      <c r="J267" s="1">
        <v>3984</v>
      </c>
      <c r="K267" s="1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 s="1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 s="1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 s="1">
        <v>0</v>
      </c>
      <c r="J273" s="1">
        <v>7500</v>
      </c>
      <c r="K273" s="1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 s="1">
        <v>0</v>
      </c>
      <c r="J276" s="1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 s="1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 s="1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 s="1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 s="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 s="1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 s="1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 s="1">
        <v>0</v>
      </c>
      <c r="J285" s="1">
        <v>35967.160000000003</v>
      </c>
      <c r="K285" s="1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 s="1">
        <v>0</v>
      </c>
      <c r="J286" s="1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 s="1">
        <v>0</v>
      </c>
      <c r="J287" s="1">
        <v>76800</v>
      </c>
      <c r="K287" s="1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 s="1">
        <v>0</v>
      </c>
      <c r="K288" s="1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 s="1">
        <v>0</v>
      </c>
      <c r="K289" s="1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 s="1">
        <v>0</v>
      </c>
      <c r="K290" s="1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 s="1">
        <v>0</v>
      </c>
      <c r="J291" s="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 s="1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 s="1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 s="1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 s="1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 s="1">
        <v>0</v>
      </c>
      <c r="J308" s="1">
        <v>373350</v>
      </c>
      <c r="K308" s="1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 s="1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 s="1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 s="1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 s="1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 s="1">
        <v>0</v>
      </c>
      <c r="K319" s="1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 s="1">
        <v>0</v>
      </c>
      <c r="J320" s="1">
        <v>435129.61</v>
      </c>
      <c r="K320" s="1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 s="1">
        <v>0</v>
      </c>
      <c r="K322" s="1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 s="1">
        <v>313.92</v>
      </c>
      <c r="K323" s="1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 s="1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 s="1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 s="1">
        <v>0</v>
      </c>
      <c r="J331" s="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 s="1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 s="1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 s="1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 s="1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 s="1">
        <v>0</v>
      </c>
      <c r="K342" s="1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 s="1">
        <v>0</v>
      </c>
      <c r="K343" s="1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 s="1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 s="1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 s="1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 s="1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 s="1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 s="1">
        <v>0</v>
      </c>
      <c r="J352" s="1">
        <v>364844.79999999999</v>
      </c>
      <c r="K352" s="1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 s="1">
        <v>0</v>
      </c>
      <c r="J353" s="1">
        <v>0</v>
      </c>
      <c r="K353" s="1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 s="1">
        <v>0</v>
      </c>
      <c r="J354" s="1">
        <v>1487.4</v>
      </c>
      <c r="K354" s="1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1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 s="1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 s="1">
        <v>0</v>
      </c>
      <c r="J363" s="1">
        <v>343010.84</v>
      </c>
      <c r="K363" s="1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 s="1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 s="1">
        <v>0</v>
      </c>
      <c r="J365" s="1">
        <v>0</v>
      </c>
      <c r="K365" s="1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 s="1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 s="1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 s="1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 s="1">
        <v>0</v>
      </c>
      <c r="K371" s="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 s="1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 s="1">
        <v>0</v>
      </c>
      <c r="K374" s="1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 s="1">
        <v>-66.8</v>
      </c>
      <c r="J375" s="1">
        <v>330</v>
      </c>
      <c r="K375" s="1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 s="1">
        <v>0</v>
      </c>
      <c r="K376" s="1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 s="1">
        <v>532.76</v>
      </c>
      <c r="J377" s="1">
        <v>0</v>
      </c>
      <c r="K377" s="1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 s="1">
        <v>0</v>
      </c>
      <c r="J379" s="1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 s="1">
        <v>0</v>
      </c>
      <c r="J380" s="1">
        <v>4552.9799999999996</v>
      </c>
      <c r="K380" s="1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 s="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 s="1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 s="1">
        <v>0</v>
      </c>
      <c r="K385" s="1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 s="1">
        <v>0</v>
      </c>
      <c r="J389" s="1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 s="1">
        <v>0</v>
      </c>
      <c r="J390" s="1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 s="1">
        <v>0</v>
      </c>
      <c r="J391" s="1">
        <v>0</v>
      </c>
      <c r="K391" s="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 s="1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 s="1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1">
        <v>0</v>
      </c>
      <c r="J396" s="1">
        <v>504</v>
      </c>
      <c r="K396" s="1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1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 s="1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 s="1">
        <v>0</v>
      </c>
      <c r="J405" s="1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 s="1">
        <v>0</v>
      </c>
      <c r="J406" s="1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 s="1">
        <v>0</v>
      </c>
      <c r="J407" s="1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 s="1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 s="1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 s="1">
        <v>0</v>
      </c>
      <c r="K418" s="1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 s="1">
        <v>979.7</v>
      </c>
      <c r="J426" s="1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 s="1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 s="1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 s="1">
        <v>101.5</v>
      </c>
      <c r="J433" s="1">
        <v>0</v>
      </c>
      <c r="K433" s="1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1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 s="1">
        <v>0</v>
      </c>
      <c r="J439" s="1">
        <v>217.84</v>
      </c>
      <c r="K439" s="1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 s="1">
        <v>0</v>
      </c>
      <c r="J440" s="1">
        <v>0</v>
      </c>
      <c r="K440" s="1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 s="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 s="1">
        <v>0</v>
      </c>
      <c r="J442" s="1">
        <v>389.9</v>
      </c>
      <c r="K442" s="1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 s="1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 s="1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57.42578125" bestFit="1" customWidth="1"/>
    <col min="2" max="2" width="18.42578125" bestFit="1" customWidth="1"/>
  </cols>
  <sheetData>
    <row r="1" spans="1:2" x14ac:dyDescent="0.25">
      <c r="A1" s="2" t="s">
        <v>566</v>
      </c>
      <c r="B1" t="s">
        <v>568</v>
      </c>
    </row>
    <row r="2" spans="1:2" x14ac:dyDescent="0.25">
      <c r="A2" s="3" t="s">
        <v>12</v>
      </c>
      <c r="B2" s="4">
        <v>67673.06</v>
      </c>
    </row>
    <row r="3" spans="1:2" x14ac:dyDescent="0.25">
      <c r="A3" s="3" t="s">
        <v>464</v>
      </c>
      <c r="B3" s="4">
        <v>474178.14999999997</v>
      </c>
    </row>
    <row r="4" spans="1:2" x14ac:dyDescent="0.25">
      <c r="A4" s="3" t="s">
        <v>548</v>
      </c>
      <c r="B4" s="4">
        <v>924217.23</v>
      </c>
    </row>
    <row r="5" spans="1:2" x14ac:dyDescent="0.25">
      <c r="A5" s="3" t="s">
        <v>52</v>
      </c>
      <c r="B5" s="4">
        <v>1182770.0299999998</v>
      </c>
    </row>
    <row r="6" spans="1:2" x14ac:dyDescent="0.25">
      <c r="A6" s="3" t="s">
        <v>92</v>
      </c>
      <c r="B6" s="4">
        <v>1644914.53</v>
      </c>
    </row>
    <row r="7" spans="1:2" x14ac:dyDescent="0.25">
      <c r="A7" s="3" t="s">
        <v>115</v>
      </c>
      <c r="B7" s="4">
        <v>2361341.12</v>
      </c>
    </row>
    <row r="8" spans="1:2" x14ac:dyDescent="0.25">
      <c r="A8" s="3" t="s">
        <v>18</v>
      </c>
      <c r="B8" s="4">
        <v>3049447.7499999995</v>
      </c>
    </row>
    <row r="9" spans="1:2" x14ac:dyDescent="0.25">
      <c r="A9" s="3" t="s">
        <v>486</v>
      </c>
      <c r="B9" s="4">
        <v>5438913.9299999978</v>
      </c>
    </row>
    <row r="10" spans="1:2" x14ac:dyDescent="0.25">
      <c r="A10" s="3" t="s">
        <v>236</v>
      </c>
      <c r="B10" s="4">
        <v>5975771.5599999996</v>
      </c>
    </row>
    <row r="11" spans="1:2" x14ac:dyDescent="0.25">
      <c r="A11" s="3" t="s">
        <v>262</v>
      </c>
      <c r="B11" s="4">
        <v>8654354.950000003</v>
      </c>
    </row>
    <row r="12" spans="1:2" x14ac:dyDescent="0.25">
      <c r="A12" s="3" t="s">
        <v>74</v>
      </c>
      <c r="B12" s="4">
        <v>8665883.370000001</v>
      </c>
    </row>
    <row r="13" spans="1:2" x14ac:dyDescent="0.25">
      <c r="A13" s="3" t="s">
        <v>291</v>
      </c>
      <c r="B13" s="4">
        <v>25107843.960000001</v>
      </c>
    </row>
    <row r="14" spans="1:2" x14ac:dyDescent="0.25">
      <c r="A14" s="3" t="s">
        <v>438</v>
      </c>
      <c r="B14" s="4">
        <v>30679165.420000002</v>
      </c>
    </row>
    <row r="15" spans="1:2" x14ac:dyDescent="0.25">
      <c r="A15" s="3" t="s">
        <v>510</v>
      </c>
      <c r="B15" s="4">
        <v>37463150.299999997</v>
      </c>
    </row>
    <row r="16" spans="1:2" x14ac:dyDescent="0.25">
      <c r="A16" s="3" t="s">
        <v>310</v>
      </c>
      <c r="B16" s="4">
        <v>84243777.629999995</v>
      </c>
    </row>
    <row r="17" spans="1:2" x14ac:dyDescent="0.25">
      <c r="A17" s="3" t="s">
        <v>131</v>
      </c>
      <c r="B17" s="4">
        <v>97415941.840000004</v>
      </c>
    </row>
    <row r="18" spans="1:2" x14ac:dyDescent="0.25">
      <c r="A18" s="3" t="s">
        <v>567</v>
      </c>
      <c r="B18" s="4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D28" sqref="D28"/>
    </sheetView>
  </sheetViews>
  <sheetFormatPr defaultRowHeight="15" x14ac:dyDescent="0.25"/>
  <cols>
    <col min="1" max="1" width="57.42578125" bestFit="1" customWidth="1"/>
    <col min="2" max="2" width="25.7109375" customWidth="1"/>
    <col min="3" max="3" width="18.42578125" customWidth="1"/>
  </cols>
  <sheetData>
    <row r="1" spans="1:3" x14ac:dyDescent="0.25">
      <c r="A1" t="s">
        <v>3</v>
      </c>
      <c r="B1" t="s">
        <v>565</v>
      </c>
      <c r="C1" t="s">
        <v>563</v>
      </c>
    </row>
    <row r="2" spans="1:3" x14ac:dyDescent="0.25">
      <c r="A2" t="s">
        <v>12</v>
      </c>
      <c r="B2">
        <f>SUMIF(despesa_funcao!D:D,Planilha1!A2,despesa_funcao!K:K)</f>
        <v>67673.06</v>
      </c>
      <c r="C2">
        <f>COUNTIF(despesa_funcao!D:D,Tabela2[[#This Row],[Secretaria]])</f>
        <v>1</v>
      </c>
    </row>
    <row r="3" spans="1:3" x14ac:dyDescent="0.25">
      <c r="A3" t="s">
        <v>18</v>
      </c>
      <c r="B3">
        <f>SUMIF(despesa_funcao!D:D,Planilha1!A3,despesa_funcao!K:K)</f>
        <v>3049447.7499999995</v>
      </c>
      <c r="C3">
        <f>COUNTIF(despesa_funcao!D:D,Tabela2[[#This Row],[Secretaria]])</f>
        <v>21</v>
      </c>
    </row>
    <row r="4" spans="1:3" x14ac:dyDescent="0.25">
      <c r="A4" t="s">
        <v>52</v>
      </c>
      <c r="B4">
        <f>SUMIF(despesa_funcao!D:D,Planilha1!A4,despesa_funcao!K:K)</f>
        <v>1182770.0299999998</v>
      </c>
      <c r="C4">
        <f>COUNTIF(despesa_funcao!D:D,Tabela2[[#This Row],[Secretaria]])</f>
        <v>16</v>
      </c>
    </row>
    <row r="5" spans="1:3" x14ac:dyDescent="0.25">
      <c r="A5" t="s">
        <v>74</v>
      </c>
      <c r="B5">
        <f>SUMIF(despesa_funcao!D:D,Planilha1!A5,despesa_funcao!K:K)</f>
        <v>8665883.370000001</v>
      </c>
      <c r="C5">
        <f>COUNTIF(despesa_funcao!D:D,Tabela2[[#This Row],[Secretaria]])</f>
        <v>16</v>
      </c>
    </row>
    <row r="6" spans="1:3" x14ac:dyDescent="0.25">
      <c r="A6" t="s">
        <v>92</v>
      </c>
      <c r="B6">
        <f>SUMIF(despesa_funcao!D:D,Planilha1!A6,despesa_funcao!K:K)</f>
        <v>1644914.53</v>
      </c>
      <c r="C6">
        <f>COUNTIF(despesa_funcao!D:D,Tabela2[[#This Row],[Secretaria]])</f>
        <v>16</v>
      </c>
    </row>
    <row r="7" spans="1:3" x14ac:dyDescent="0.25">
      <c r="A7" t="s">
        <v>115</v>
      </c>
      <c r="B7">
        <f>SUMIF(despesa_funcao!D:D,Planilha1!A7,despesa_funcao!K:K)</f>
        <v>2361341.12</v>
      </c>
      <c r="C7">
        <f>COUNTIF(despesa_funcao!D:D,Tabela2[[#This Row],[Secretaria]])</f>
        <v>13</v>
      </c>
    </row>
    <row r="8" spans="1:3" x14ac:dyDescent="0.25">
      <c r="A8" t="s">
        <v>131</v>
      </c>
      <c r="B8">
        <f>SUMIF(despesa_funcao!D:D,Planilha1!A8,despesa_funcao!K:K)</f>
        <v>97415941.840000004</v>
      </c>
      <c r="C8">
        <f>COUNTIF(despesa_funcao!D:D,Tabela2[[#This Row],[Secretaria]])</f>
        <v>88</v>
      </c>
    </row>
    <row r="9" spans="1:3" x14ac:dyDescent="0.25">
      <c r="A9" t="s">
        <v>236</v>
      </c>
      <c r="B9">
        <f>SUMIF(despesa_funcao!D:D,Planilha1!A9,despesa_funcao!K:K)</f>
        <v>5975771.5599999996</v>
      </c>
      <c r="C9">
        <f>COUNTIF(despesa_funcao!D:D,Tabela2[[#This Row],[Secretaria]])</f>
        <v>23</v>
      </c>
    </row>
    <row r="10" spans="1:3" x14ac:dyDescent="0.25">
      <c r="A10" t="s">
        <v>262</v>
      </c>
      <c r="B10">
        <f>SUMIF(despesa_funcao!D:D,Planilha1!A10,despesa_funcao!K:K)</f>
        <v>8654354.950000003</v>
      </c>
      <c r="C10">
        <f>COUNTIF(despesa_funcao!D:D,Tabela2[[#This Row],[Secretaria]])</f>
        <v>25</v>
      </c>
    </row>
    <row r="11" spans="1:3" x14ac:dyDescent="0.25">
      <c r="A11" t="s">
        <v>291</v>
      </c>
      <c r="B11">
        <f>SUMIF(despesa_funcao!D:D,Planilha1!A11,despesa_funcao!K:K)</f>
        <v>25107843.960000001</v>
      </c>
      <c r="C11">
        <f>COUNTIF(despesa_funcao!D:D,Tabela2[[#This Row],[Secretaria]])</f>
        <v>15</v>
      </c>
    </row>
    <row r="12" spans="1:3" x14ac:dyDescent="0.25">
      <c r="A12" t="s">
        <v>310</v>
      </c>
      <c r="B12">
        <f>SUMIF(despesa_funcao!D:D,Planilha1!A12,despesa_funcao!K:K)</f>
        <v>84243777.629999995</v>
      </c>
      <c r="C12">
        <f>COUNTIF(despesa_funcao!D:D,Tabela2[[#This Row],[Secretaria]])</f>
        <v>115</v>
      </c>
    </row>
    <row r="13" spans="1:3" x14ac:dyDescent="0.25">
      <c r="A13" t="s">
        <v>438</v>
      </c>
      <c r="B13">
        <f>SUMIF(despesa_funcao!D:D,Planilha1!A13,despesa_funcao!K:K)</f>
        <v>30679165.420000002</v>
      </c>
      <c r="C13">
        <f>COUNTIF(despesa_funcao!D:D,Tabela2[[#This Row],[Secretaria]])</f>
        <v>22</v>
      </c>
    </row>
    <row r="14" spans="1:3" x14ac:dyDescent="0.25">
      <c r="A14" t="s">
        <v>464</v>
      </c>
      <c r="B14">
        <f>SUMIF(despesa_funcao!D:D,Planilha1!A14,despesa_funcao!K:K)</f>
        <v>474178.14999999997</v>
      </c>
      <c r="C14">
        <f>COUNTIF(despesa_funcao!D:D,Tabela2[[#This Row],[Secretaria]])</f>
        <v>14</v>
      </c>
    </row>
    <row r="15" spans="1:3" x14ac:dyDescent="0.25">
      <c r="A15" t="s">
        <v>486</v>
      </c>
      <c r="B15">
        <f>SUMIF(despesa_funcao!D:D,Planilha1!A15,despesa_funcao!K:K)</f>
        <v>5438913.9299999978</v>
      </c>
      <c r="C15">
        <f>COUNTIF(despesa_funcao!D:D,Tabela2[[#This Row],[Secretaria]])</f>
        <v>21</v>
      </c>
    </row>
    <row r="16" spans="1:3" x14ac:dyDescent="0.25">
      <c r="A16" t="s">
        <v>510</v>
      </c>
      <c r="B16">
        <f>SUMIF(despesa_funcao!D:D,Planilha1!A16,despesa_funcao!K:K)</f>
        <v>37463150.299999997</v>
      </c>
      <c r="C16">
        <f>COUNTIF(despesa_funcao!D:D,Tabela2[[#This Row],[Secretaria]])</f>
        <v>24</v>
      </c>
    </row>
    <row r="17" spans="1:3" x14ac:dyDescent="0.25">
      <c r="A17" t="s">
        <v>548</v>
      </c>
      <c r="B17">
        <f>SUMIF(despesa_funcao!D:D,Planilha1!A17,despesa_funcao!K:K)</f>
        <v>924217.23</v>
      </c>
      <c r="C17">
        <f>COUNTIF(despesa_funcao!D:D,Tabela2[[#This Row],[Secretaria]])</f>
        <v>13</v>
      </c>
    </row>
  </sheetData>
  <dataConsolidate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2026-03-13T23:57:48Z</dcterms:created>
  <dcterms:modified xsi:type="dcterms:W3CDTF">2026-03-14T01:59:10Z</dcterms:modified>
</cp:coreProperties>
</file>